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T\Desktop\"/>
    </mc:Choice>
  </mc:AlternateContent>
  <xr:revisionPtr revIDLastSave="0" documentId="13_ncr:1_{1B03AFEE-B157-4153-A3D7-95645B3D4B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odes" sheetId="1" r:id="rId1"/>
    <sheet name="can_bring_up_command" sheetId="2" r:id="rId2"/>
    <sheet name="Mod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3" i="1" l="1"/>
  <c r="Q13" i="1"/>
  <c r="N13" i="1"/>
  <c r="O13" i="1" s="1"/>
  <c r="J13" i="1"/>
  <c r="Y12" i="1"/>
  <c r="Q12" i="1"/>
  <c r="N12" i="1"/>
  <c r="O12" i="1" s="1"/>
  <c r="J12" i="1"/>
  <c r="Y11" i="1"/>
  <c r="Q11" i="1"/>
  <c r="N11" i="1"/>
  <c r="O11" i="1" s="1"/>
  <c r="J11" i="1"/>
  <c r="Y10" i="1"/>
  <c r="Q10" i="1"/>
  <c r="N10" i="1"/>
  <c r="O10" i="1" s="1"/>
  <c r="J10" i="1"/>
  <c r="Y9" i="1"/>
  <c r="Q9" i="1"/>
  <c r="O9" i="1"/>
  <c r="N9" i="1"/>
  <c r="J9" i="1"/>
  <c r="Y8" i="1"/>
  <c r="Q8" i="1"/>
  <c r="N8" i="1"/>
  <c r="O8" i="1" s="1"/>
  <c r="J8" i="1"/>
  <c r="Y7" i="1"/>
  <c r="Q7" i="1"/>
  <c r="O7" i="1"/>
  <c r="N7" i="1"/>
  <c r="J7" i="1"/>
  <c r="Y6" i="1"/>
  <c r="Q6" i="1"/>
  <c r="N6" i="1"/>
  <c r="O6" i="1" s="1"/>
  <c r="J6" i="1"/>
  <c r="Y5" i="1"/>
  <c r="Q5" i="1"/>
  <c r="O5" i="1"/>
  <c r="N5" i="1"/>
  <c r="J5" i="1"/>
  <c r="Y4" i="1"/>
  <c r="Q4" i="1"/>
  <c r="N4" i="1"/>
  <c r="O4" i="1" s="1"/>
  <c r="J4" i="1"/>
  <c r="Y3" i="1"/>
  <c r="Q3" i="1"/>
  <c r="N3" i="1"/>
  <c r="O3" i="1" s="1"/>
  <c r="J3" i="1"/>
</calcChain>
</file>

<file path=xl/sharedStrings.xml><?xml version="1.0" encoding="utf-8"?>
<sst xmlns="http://schemas.openxmlformats.org/spreadsheetml/2006/main" count="95" uniqueCount="66">
  <si>
    <t>node_name</t>
  </si>
  <si>
    <t>node_id</t>
  </si>
  <si>
    <t>bus</t>
  </si>
  <si>
    <t>eds_file</t>
  </si>
  <si>
    <t>BLDC_max_velocity</t>
  </si>
  <si>
    <t>encoder_bit</t>
  </si>
  <si>
    <t>gear_ratio</t>
  </si>
  <si>
    <t>time_period_ms</t>
  </si>
  <si>
    <t>BLDC_velocity_unit</t>
  </si>
  <si>
    <t>Gear_Output_RPM</t>
  </si>
  <si>
    <t>BLDC_acceleration_unit</t>
  </si>
  <si>
    <t>BLDC_deceleration_unit</t>
  </si>
  <si>
    <t>torque_current_ratio</t>
  </si>
  <si>
    <t>max_position</t>
  </si>
  <si>
    <t>min_position</t>
  </si>
  <si>
    <t>max_velocity</t>
  </si>
  <si>
    <t>min_velocity</t>
  </si>
  <si>
    <t>max_acceleration</t>
  </si>
  <si>
    <t>min_acceleration</t>
  </si>
  <si>
    <t>current_acceleration</t>
  </si>
  <si>
    <t>max_deceleration</t>
  </si>
  <si>
    <t>min_deceleration</t>
  </si>
  <si>
    <t>current_deceleration</t>
  </si>
  <si>
    <t>max_torque</t>
  </si>
  <si>
    <t>min_torque</t>
  </si>
  <si>
    <t>torque_slope_max</t>
  </si>
  <si>
    <t>torque_slope_min</t>
  </si>
  <si>
    <t>current_torque_slope</t>
  </si>
  <si>
    <t>mode</t>
  </si>
  <si>
    <t>feedback</t>
  </si>
  <si>
    <t>feedback_period_ms</t>
  </si>
  <si>
    <t>heartbeat_timeout_ms</t>
  </si>
  <si>
    <t>DEBUG_INIT</t>
  </si>
  <si>
    <t>DEBUG_COMMAND</t>
  </si>
  <si>
    <t>DEBUG_FEEDBACK</t>
  </si>
  <si>
    <t>DEBUG_HEARTBEAT</t>
  </si>
  <si>
    <t>DEBUG_CONTROLWORD</t>
  </si>
  <si>
    <t>Failure_Exit</t>
  </si>
  <si>
    <t>Raspberry_Pi</t>
  </si>
  <si>
    <t>Left_Drive</t>
  </si>
  <si>
    <t>Drive_CAN</t>
  </si>
  <si>
    <t>Avatarrobot_TD.eds</t>
  </si>
  <si>
    <t>Right_Drive</t>
  </si>
  <si>
    <t>Front_Flipper</t>
  </si>
  <si>
    <t>Rear_Flipper</t>
  </si>
  <si>
    <t>Turret</t>
  </si>
  <si>
    <t>Arm_CAN</t>
  </si>
  <si>
    <t>Left_Differential</t>
  </si>
  <si>
    <t>Right_Differential</t>
  </si>
  <si>
    <t>Telescopic</t>
  </si>
  <si>
    <t>Wrist</t>
  </si>
  <si>
    <t>Gripper_360</t>
  </si>
  <si>
    <t>Gripper</t>
  </si>
  <si>
    <t>PEAK_CAN_Adapter</t>
  </si>
  <si>
    <t>OpenMoko_CAN_adapter</t>
  </si>
  <si>
    <t>Waveshare_2CH_CAN_Adapter</t>
  </si>
  <si>
    <t>sudo apt update</t>
  </si>
  <si>
    <t>sudo ip link set can0 down</t>
  </si>
  <si>
    <t>sudo apt install can-utils</t>
  </si>
  <si>
    <t>sudo ip link set can0 up type can bitrate 1000000 restart-ms 100</t>
  </si>
  <si>
    <t>sudo modprobe can</t>
  </si>
  <si>
    <t>sudo modprobe can_raw</t>
  </si>
  <si>
    <t>sudo modprobe can_dev</t>
  </si>
  <si>
    <t>sudo modprobe peak_usb</t>
  </si>
  <si>
    <t>sudo modprobe gs_usb</t>
  </si>
  <si>
    <t>ip -details link show can0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</si>
</sst>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zoomScale="122" zoomScaleNormal="122" workbookViewId="0">
      <pane xSplit="1" topLeftCell="AC1" activePane="topRight" state="frozen"/>
      <selection pane="topRight" activeCell="AH15" sqref="AH15"/>
    </sheetView>
  </sheetViews>
  <sheetFormatPr defaultColWidth="9.109375" defaultRowHeight="14.4" x14ac:dyDescent="0.3"/>
  <cols>
    <col min="1" max="1" width="21.21875" customWidth="1"/>
    <col min="2" max="2" width="4.21875" customWidth="1"/>
    <col min="3" max="3" width="5.109375" customWidth="1"/>
    <col min="4" max="4" width="22.109375" customWidth="1"/>
    <col min="14" max="14" width="9.5546875" customWidth="1"/>
    <col min="15" max="15" width="10.33203125" customWidth="1"/>
    <col min="27" max="27" width="15.44140625" customWidth="1"/>
  </cols>
  <sheetData>
    <row r="1" spans="1:38" s="2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</row>
    <row r="2" spans="1:38" x14ac:dyDescent="0.3">
      <c r="A2" s="2" t="s">
        <v>38</v>
      </c>
      <c r="B2" s="3">
        <v>1</v>
      </c>
      <c r="C2" s="3"/>
      <c r="D2" s="3"/>
    </row>
    <row r="3" spans="1:38" x14ac:dyDescent="0.3">
      <c r="A3" s="4" t="s">
        <v>39</v>
      </c>
      <c r="B3">
        <v>2</v>
      </c>
      <c r="C3" t="s">
        <v>40</v>
      </c>
      <c r="D3" t="s">
        <v>41</v>
      </c>
      <c r="E3" s="3">
        <v>5500</v>
      </c>
      <c r="F3" s="3">
        <v>16</v>
      </c>
      <c r="G3" s="3">
        <v>51</v>
      </c>
      <c r="H3" s="3">
        <v>10</v>
      </c>
      <c r="I3" s="3">
        <v>0.6</v>
      </c>
      <c r="J3" s="3">
        <f t="shared" ref="J3:J13" si="0">E3*I3/G3</f>
        <v>64.705882352941174</v>
      </c>
      <c r="K3" s="3">
        <v>600</v>
      </c>
      <c r="L3" s="3">
        <v>600</v>
      </c>
      <c r="M3" s="3">
        <v>0.1</v>
      </c>
      <c r="N3" s="5">
        <f t="shared" ref="N3:N13" si="1">90*POWER(2,F3)*G3</f>
        <v>300810240</v>
      </c>
      <c r="O3" s="3">
        <f t="shared" ref="O3:O13" si="2">-N3</f>
        <v>-300810240</v>
      </c>
      <c r="P3" s="3">
        <v>5400</v>
      </c>
      <c r="Q3" s="3">
        <f t="shared" ref="Q3:Q13" si="3">-P3</f>
        <v>-5400</v>
      </c>
      <c r="R3" s="3">
        <v>99</v>
      </c>
      <c r="S3" s="3">
        <v>0</v>
      </c>
      <c r="T3" s="3">
        <v>10</v>
      </c>
      <c r="U3" s="3">
        <v>99</v>
      </c>
      <c r="V3" s="3">
        <v>0</v>
      </c>
      <c r="W3" s="3">
        <v>10</v>
      </c>
      <c r="X3" s="3">
        <v>1330</v>
      </c>
      <c r="Y3" s="3">
        <f t="shared" ref="Y3:Y12" si="4">-X3</f>
        <v>-1330</v>
      </c>
      <c r="Z3" s="3">
        <v>5</v>
      </c>
      <c r="AA3" s="3">
        <v>1</v>
      </c>
      <c r="AB3" s="3">
        <v>1</v>
      </c>
      <c r="AC3" s="3">
        <v>9</v>
      </c>
      <c r="AD3" s="3">
        <v>1</v>
      </c>
      <c r="AE3" s="3">
        <v>10</v>
      </c>
      <c r="AF3" s="3">
        <v>3000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>
        <v>1</v>
      </c>
    </row>
    <row r="4" spans="1:38" x14ac:dyDescent="0.3">
      <c r="A4" s="4" t="s">
        <v>42</v>
      </c>
      <c r="B4">
        <v>3</v>
      </c>
      <c r="C4" t="s">
        <v>40</v>
      </c>
      <c r="D4" t="s">
        <v>41</v>
      </c>
      <c r="E4" s="3">
        <v>5500</v>
      </c>
      <c r="F4" s="3">
        <v>16</v>
      </c>
      <c r="G4" s="3">
        <v>51</v>
      </c>
      <c r="H4" s="3">
        <v>10</v>
      </c>
      <c r="I4" s="3">
        <v>0.6</v>
      </c>
      <c r="J4" s="3">
        <f t="shared" si="0"/>
        <v>64.705882352941174</v>
      </c>
      <c r="K4" s="3">
        <v>600</v>
      </c>
      <c r="L4" s="3">
        <v>600</v>
      </c>
      <c r="M4" s="3">
        <v>0.1</v>
      </c>
      <c r="N4" s="5">
        <f t="shared" si="1"/>
        <v>300810240</v>
      </c>
      <c r="O4" s="3">
        <f t="shared" si="2"/>
        <v>-300810240</v>
      </c>
      <c r="P4" s="3">
        <v>5400</v>
      </c>
      <c r="Q4" s="3">
        <f t="shared" si="3"/>
        <v>-5400</v>
      </c>
      <c r="R4" s="3">
        <v>99</v>
      </c>
      <c r="S4" s="3">
        <v>0</v>
      </c>
      <c r="T4" s="3">
        <v>10</v>
      </c>
      <c r="U4" s="3">
        <v>99</v>
      </c>
      <c r="V4" s="3">
        <v>0</v>
      </c>
      <c r="W4" s="3">
        <v>10</v>
      </c>
      <c r="X4" s="3">
        <v>685</v>
      </c>
      <c r="Y4" s="3">
        <f t="shared" si="4"/>
        <v>-685</v>
      </c>
      <c r="Z4" s="3">
        <v>5</v>
      </c>
      <c r="AA4" s="3">
        <v>1</v>
      </c>
      <c r="AB4" s="3">
        <v>1</v>
      </c>
      <c r="AC4" s="3">
        <v>9</v>
      </c>
      <c r="AD4" s="3">
        <v>1</v>
      </c>
      <c r="AE4" s="3">
        <v>10</v>
      </c>
      <c r="AF4" s="3">
        <v>3000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>
        <v>1</v>
      </c>
    </row>
    <row r="5" spans="1:38" x14ac:dyDescent="0.3">
      <c r="A5" s="4" t="s">
        <v>43</v>
      </c>
      <c r="B5">
        <v>4</v>
      </c>
      <c r="C5" t="s">
        <v>40</v>
      </c>
      <c r="D5" t="s">
        <v>41</v>
      </c>
      <c r="E5" s="3">
        <v>5500</v>
      </c>
      <c r="F5" s="3">
        <v>16</v>
      </c>
      <c r="G5" s="3">
        <v>101</v>
      </c>
      <c r="H5" s="3">
        <v>10</v>
      </c>
      <c r="I5" s="3">
        <v>0.6</v>
      </c>
      <c r="J5" s="3">
        <f t="shared" si="0"/>
        <v>32.67326732673267</v>
      </c>
      <c r="K5" s="3">
        <v>600</v>
      </c>
      <c r="L5" s="3">
        <v>600</v>
      </c>
      <c r="M5" s="3">
        <v>0.1</v>
      </c>
      <c r="N5" s="5">
        <f t="shared" si="1"/>
        <v>595722240</v>
      </c>
      <c r="O5" s="3">
        <f t="shared" si="2"/>
        <v>-595722240</v>
      </c>
      <c r="P5" s="3">
        <v>5400</v>
      </c>
      <c r="Q5" s="3">
        <f t="shared" si="3"/>
        <v>-5400</v>
      </c>
      <c r="R5" s="3">
        <v>99</v>
      </c>
      <c r="S5" s="3">
        <v>0</v>
      </c>
      <c r="T5" s="3">
        <v>10</v>
      </c>
      <c r="U5" s="3">
        <v>99</v>
      </c>
      <c r="V5" s="3">
        <v>0</v>
      </c>
      <c r="W5" s="3">
        <v>10</v>
      </c>
      <c r="X5" s="3">
        <v>89</v>
      </c>
      <c r="Y5" s="3">
        <f t="shared" si="4"/>
        <v>-89</v>
      </c>
      <c r="Z5" s="3">
        <v>5</v>
      </c>
      <c r="AA5" s="3">
        <v>1</v>
      </c>
      <c r="AB5" s="3">
        <v>1</v>
      </c>
      <c r="AC5" s="3">
        <v>8</v>
      </c>
      <c r="AD5" s="3">
        <v>1</v>
      </c>
      <c r="AE5" s="3">
        <v>10</v>
      </c>
      <c r="AF5" s="3">
        <v>3000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>
        <v>1</v>
      </c>
    </row>
    <row r="6" spans="1:38" x14ac:dyDescent="0.3">
      <c r="A6" s="4" t="s">
        <v>44</v>
      </c>
      <c r="B6">
        <v>5</v>
      </c>
      <c r="C6" t="s">
        <v>40</v>
      </c>
      <c r="D6" t="s">
        <v>41</v>
      </c>
      <c r="E6" s="3">
        <v>5500</v>
      </c>
      <c r="F6" s="3">
        <v>16</v>
      </c>
      <c r="G6" s="3">
        <v>101</v>
      </c>
      <c r="H6" s="3">
        <v>10</v>
      </c>
      <c r="I6" s="3">
        <v>0.6</v>
      </c>
      <c r="J6" s="3">
        <f t="shared" si="0"/>
        <v>32.67326732673267</v>
      </c>
      <c r="K6" s="3">
        <v>600</v>
      </c>
      <c r="L6" s="3">
        <v>600</v>
      </c>
      <c r="M6" s="3">
        <v>0.1</v>
      </c>
      <c r="N6" s="5">
        <f t="shared" si="1"/>
        <v>595722240</v>
      </c>
      <c r="O6" s="3">
        <f t="shared" si="2"/>
        <v>-595722240</v>
      </c>
      <c r="P6" s="3">
        <v>5400</v>
      </c>
      <c r="Q6" s="3">
        <f t="shared" si="3"/>
        <v>-5400</v>
      </c>
      <c r="R6" s="3">
        <v>99</v>
      </c>
      <c r="S6" s="3">
        <v>0</v>
      </c>
      <c r="T6" s="3">
        <v>10</v>
      </c>
      <c r="U6" s="3">
        <v>99</v>
      </c>
      <c r="V6" s="3">
        <v>0</v>
      </c>
      <c r="W6" s="3">
        <v>10</v>
      </c>
      <c r="X6" s="3">
        <v>89</v>
      </c>
      <c r="Y6" s="3">
        <f t="shared" si="4"/>
        <v>-89</v>
      </c>
      <c r="Z6" s="3">
        <v>5</v>
      </c>
      <c r="AA6" s="3">
        <v>1</v>
      </c>
      <c r="AB6" s="3">
        <v>1</v>
      </c>
      <c r="AC6" s="3">
        <v>8</v>
      </c>
      <c r="AD6" s="3">
        <v>1</v>
      </c>
      <c r="AE6" s="3">
        <v>10</v>
      </c>
      <c r="AF6" s="3">
        <v>3000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>
        <v>1</v>
      </c>
    </row>
    <row r="7" spans="1:38" x14ac:dyDescent="0.3">
      <c r="A7" s="4" t="s">
        <v>45</v>
      </c>
      <c r="B7">
        <v>6</v>
      </c>
      <c r="C7" t="s">
        <v>46</v>
      </c>
      <c r="D7" t="s">
        <v>41</v>
      </c>
      <c r="E7" s="3">
        <v>5500</v>
      </c>
      <c r="F7" s="3">
        <v>16</v>
      </c>
      <c r="G7" s="3">
        <v>101</v>
      </c>
      <c r="H7" s="3">
        <v>10</v>
      </c>
      <c r="I7" s="3">
        <v>0.6</v>
      </c>
      <c r="J7" s="3">
        <f t="shared" si="0"/>
        <v>32.67326732673267</v>
      </c>
      <c r="K7" s="3">
        <v>600</v>
      </c>
      <c r="L7" s="3">
        <v>600</v>
      </c>
      <c r="M7" s="3">
        <v>0.1</v>
      </c>
      <c r="N7" s="5">
        <f t="shared" si="1"/>
        <v>595722240</v>
      </c>
      <c r="O7" s="3">
        <f t="shared" si="2"/>
        <v>-595722240</v>
      </c>
      <c r="P7" s="3">
        <v>5400</v>
      </c>
      <c r="Q7" s="3">
        <f t="shared" si="3"/>
        <v>-5400</v>
      </c>
      <c r="R7" s="3">
        <v>99</v>
      </c>
      <c r="S7" s="3">
        <v>0</v>
      </c>
      <c r="T7" s="3">
        <v>10</v>
      </c>
      <c r="U7" s="3">
        <v>99</v>
      </c>
      <c r="V7" s="3">
        <v>0</v>
      </c>
      <c r="W7" s="3">
        <v>10</v>
      </c>
      <c r="X7" s="3">
        <v>49</v>
      </c>
      <c r="Y7" s="3">
        <f t="shared" si="4"/>
        <v>-49</v>
      </c>
      <c r="Z7" s="3">
        <v>5</v>
      </c>
      <c r="AA7" s="3">
        <v>1</v>
      </c>
      <c r="AB7" s="3">
        <v>1</v>
      </c>
      <c r="AC7" s="3">
        <v>8</v>
      </c>
      <c r="AD7" s="3">
        <v>1</v>
      </c>
      <c r="AE7" s="3">
        <v>10</v>
      </c>
      <c r="AF7" s="3">
        <v>3000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>
        <v>1</v>
      </c>
    </row>
    <row r="8" spans="1:38" x14ac:dyDescent="0.3">
      <c r="A8" s="4" t="s">
        <v>47</v>
      </c>
      <c r="B8">
        <v>7</v>
      </c>
      <c r="C8" t="s">
        <v>46</v>
      </c>
      <c r="D8" t="s">
        <v>41</v>
      </c>
      <c r="E8" s="3">
        <v>5500</v>
      </c>
      <c r="F8" s="3">
        <v>16</v>
      </c>
      <c r="G8" s="3">
        <v>101</v>
      </c>
      <c r="H8" s="3">
        <v>10</v>
      </c>
      <c r="I8" s="3">
        <v>0.6</v>
      </c>
      <c r="J8" s="3">
        <f t="shared" si="0"/>
        <v>32.67326732673267</v>
      </c>
      <c r="K8" s="3">
        <v>600</v>
      </c>
      <c r="L8" s="3">
        <v>600</v>
      </c>
      <c r="M8" s="3">
        <v>0.1</v>
      </c>
      <c r="N8" s="5">
        <f t="shared" si="1"/>
        <v>595722240</v>
      </c>
      <c r="O8" s="3">
        <f t="shared" si="2"/>
        <v>-595722240</v>
      </c>
      <c r="P8" s="3">
        <v>5400</v>
      </c>
      <c r="Q8" s="3">
        <f t="shared" si="3"/>
        <v>-5400</v>
      </c>
      <c r="R8" s="3">
        <v>99</v>
      </c>
      <c r="S8" s="3">
        <v>0</v>
      </c>
      <c r="T8" s="3">
        <v>10</v>
      </c>
      <c r="U8" s="3">
        <v>99</v>
      </c>
      <c r="V8" s="3">
        <v>0</v>
      </c>
      <c r="W8" s="3">
        <v>10</v>
      </c>
      <c r="X8" s="3">
        <v>1330</v>
      </c>
      <c r="Y8" s="3">
        <f t="shared" si="4"/>
        <v>-1330</v>
      </c>
      <c r="Z8" s="3">
        <v>5</v>
      </c>
      <c r="AA8" s="3">
        <v>1</v>
      </c>
      <c r="AB8" s="3">
        <v>1</v>
      </c>
      <c r="AC8" s="3">
        <v>8</v>
      </c>
      <c r="AD8" s="3">
        <v>1</v>
      </c>
      <c r="AE8" s="3">
        <v>10</v>
      </c>
      <c r="AF8" s="3">
        <v>3000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>
        <v>1</v>
      </c>
    </row>
    <row r="9" spans="1:38" x14ac:dyDescent="0.3">
      <c r="A9" s="4" t="s">
        <v>48</v>
      </c>
      <c r="B9">
        <v>8</v>
      </c>
      <c r="C9" t="s">
        <v>46</v>
      </c>
      <c r="D9" t="s">
        <v>41</v>
      </c>
      <c r="E9" s="3">
        <v>5500</v>
      </c>
      <c r="F9" s="3">
        <v>16</v>
      </c>
      <c r="G9" s="3">
        <v>101</v>
      </c>
      <c r="H9" s="3">
        <v>10</v>
      </c>
      <c r="I9" s="3">
        <v>0.6</v>
      </c>
      <c r="J9" s="3">
        <f t="shared" si="0"/>
        <v>32.67326732673267</v>
      </c>
      <c r="K9" s="3">
        <v>600</v>
      </c>
      <c r="L9" s="3">
        <v>600</v>
      </c>
      <c r="M9" s="3">
        <v>0.1</v>
      </c>
      <c r="N9" s="5">
        <f t="shared" si="1"/>
        <v>595722240</v>
      </c>
      <c r="O9" s="3">
        <f t="shared" si="2"/>
        <v>-595722240</v>
      </c>
      <c r="P9" s="3">
        <v>5400</v>
      </c>
      <c r="Q9" s="3">
        <f t="shared" si="3"/>
        <v>-5400</v>
      </c>
      <c r="R9" s="3">
        <v>99</v>
      </c>
      <c r="S9" s="3">
        <v>0</v>
      </c>
      <c r="T9" s="3">
        <v>10</v>
      </c>
      <c r="U9" s="3">
        <v>99</v>
      </c>
      <c r="V9" s="3">
        <v>0</v>
      </c>
      <c r="W9" s="3">
        <v>10</v>
      </c>
      <c r="X9" s="3">
        <v>1330</v>
      </c>
      <c r="Y9" s="3">
        <f t="shared" si="4"/>
        <v>-1330</v>
      </c>
      <c r="Z9" s="3">
        <v>5</v>
      </c>
      <c r="AA9" s="3">
        <v>1</v>
      </c>
      <c r="AB9" s="3">
        <v>1</v>
      </c>
      <c r="AC9" s="3">
        <v>8</v>
      </c>
      <c r="AD9" s="3">
        <v>1</v>
      </c>
      <c r="AE9" s="3">
        <v>10</v>
      </c>
      <c r="AF9" s="3">
        <v>3000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>
        <v>1</v>
      </c>
    </row>
    <row r="10" spans="1:38" x14ac:dyDescent="0.3">
      <c r="A10" s="4" t="s">
        <v>49</v>
      </c>
      <c r="B10">
        <v>9</v>
      </c>
      <c r="C10" t="s">
        <v>46</v>
      </c>
      <c r="D10" t="s">
        <v>41</v>
      </c>
      <c r="E10" s="3">
        <v>5500</v>
      </c>
      <c r="F10" s="3">
        <v>16</v>
      </c>
      <c r="G10" s="3">
        <v>101</v>
      </c>
      <c r="H10" s="3">
        <v>10</v>
      </c>
      <c r="I10" s="3">
        <v>0.6</v>
      </c>
      <c r="J10" s="3">
        <f t="shared" si="0"/>
        <v>32.67326732673267</v>
      </c>
      <c r="K10" s="3">
        <v>600</v>
      </c>
      <c r="L10" s="3">
        <v>600</v>
      </c>
      <c r="M10" s="3">
        <v>0.1</v>
      </c>
      <c r="N10" s="5">
        <f t="shared" si="1"/>
        <v>595722240</v>
      </c>
      <c r="O10" s="3">
        <f t="shared" si="2"/>
        <v>-595722240</v>
      </c>
      <c r="P10" s="3">
        <v>5400</v>
      </c>
      <c r="Q10" s="3">
        <f t="shared" si="3"/>
        <v>-5400</v>
      </c>
      <c r="R10" s="3">
        <v>99</v>
      </c>
      <c r="S10" s="3">
        <v>0</v>
      </c>
      <c r="T10" s="3">
        <v>10</v>
      </c>
      <c r="U10" s="3">
        <v>99</v>
      </c>
      <c r="V10" s="3">
        <v>0</v>
      </c>
      <c r="W10" s="3">
        <v>10</v>
      </c>
      <c r="X10" s="3">
        <v>490</v>
      </c>
      <c r="Y10" s="3">
        <f t="shared" si="4"/>
        <v>-490</v>
      </c>
      <c r="Z10" s="3">
        <v>5</v>
      </c>
      <c r="AA10" s="3">
        <v>1</v>
      </c>
      <c r="AB10" s="3">
        <v>1</v>
      </c>
      <c r="AC10" s="3">
        <v>8</v>
      </c>
      <c r="AD10" s="3">
        <v>1</v>
      </c>
      <c r="AE10" s="3">
        <v>10</v>
      </c>
      <c r="AF10" s="3">
        <v>3000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>
        <v>1</v>
      </c>
    </row>
    <row r="11" spans="1:38" x14ac:dyDescent="0.3">
      <c r="A11" s="4" t="s">
        <v>50</v>
      </c>
      <c r="B11">
        <v>10</v>
      </c>
      <c r="C11" t="s">
        <v>46</v>
      </c>
      <c r="D11" t="s">
        <v>41</v>
      </c>
      <c r="E11" s="3">
        <v>5500</v>
      </c>
      <c r="F11" s="3">
        <v>16</v>
      </c>
      <c r="G11" s="3">
        <v>101</v>
      </c>
      <c r="H11" s="3">
        <v>10</v>
      </c>
      <c r="I11" s="3">
        <v>0.6</v>
      </c>
      <c r="J11" s="3">
        <f t="shared" si="0"/>
        <v>32.67326732673267</v>
      </c>
      <c r="K11" s="3">
        <v>600</v>
      </c>
      <c r="L11" s="3">
        <v>600</v>
      </c>
      <c r="M11" s="3">
        <v>0.1</v>
      </c>
      <c r="N11" s="5">
        <f t="shared" si="1"/>
        <v>595722240</v>
      </c>
      <c r="O11" s="3">
        <f t="shared" si="2"/>
        <v>-595722240</v>
      </c>
      <c r="P11" s="3">
        <v>5400</v>
      </c>
      <c r="Q11" s="3">
        <f t="shared" si="3"/>
        <v>-5400</v>
      </c>
      <c r="R11" s="3">
        <v>99</v>
      </c>
      <c r="S11" s="3">
        <v>0</v>
      </c>
      <c r="T11" s="3">
        <v>10</v>
      </c>
      <c r="U11" s="3">
        <v>99</v>
      </c>
      <c r="V11" s="3">
        <v>0</v>
      </c>
      <c r="W11" s="3">
        <v>10</v>
      </c>
      <c r="X11" s="3">
        <v>490</v>
      </c>
      <c r="Y11" s="3">
        <f t="shared" si="4"/>
        <v>-490</v>
      </c>
      <c r="Z11" s="3">
        <v>5</v>
      </c>
      <c r="AA11" s="3">
        <v>1</v>
      </c>
      <c r="AB11" s="3">
        <v>1</v>
      </c>
      <c r="AC11" s="3">
        <v>8</v>
      </c>
      <c r="AD11" s="3">
        <v>1</v>
      </c>
      <c r="AE11" s="3">
        <v>10</v>
      </c>
      <c r="AF11" s="3">
        <v>3000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>
        <v>1</v>
      </c>
    </row>
    <row r="12" spans="1:38" x14ac:dyDescent="0.3">
      <c r="A12" s="4" t="s">
        <v>51</v>
      </c>
      <c r="B12">
        <v>11</v>
      </c>
      <c r="C12" t="s">
        <v>46</v>
      </c>
      <c r="D12" t="s">
        <v>41</v>
      </c>
      <c r="E12" s="3">
        <v>5500</v>
      </c>
      <c r="F12" s="3">
        <v>16</v>
      </c>
      <c r="G12" s="3">
        <v>101</v>
      </c>
      <c r="H12" s="3">
        <v>10</v>
      </c>
      <c r="I12" s="3">
        <v>0.6</v>
      </c>
      <c r="J12" s="3">
        <f t="shared" si="0"/>
        <v>32.67326732673267</v>
      </c>
      <c r="K12" s="3">
        <v>600</v>
      </c>
      <c r="L12" s="3">
        <v>600</v>
      </c>
      <c r="M12" s="3">
        <v>0.1</v>
      </c>
      <c r="N12" s="5">
        <f t="shared" si="1"/>
        <v>595722240</v>
      </c>
      <c r="O12" s="3">
        <f t="shared" si="2"/>
        <v>-595722240</v>
      </c>
      <c r="P12" s="3">
        <v>5400</v>
      </c>
      <c r="Q12" s="3">
        <f t="shared" si="3"/>
        <v>-5400</v>
      </c>
      <c r="R12" s="3">
        <v>99</v>
      </c>
      <c r="S12" s="3">
        <v>0</v>
      </c>
      <c r="T12" s="3">
        <v>10</v>
      </c>
      <c r="U12" s="3">
        <v>99</v>
      </c>
      <c r="V12" s="3">
        <v>0</v>
      </c>
      <c r="W12" s="3">
        <v>10</v>
      </c>
      <c r="X12" s="3">
        <v>89</v>
      </c>
      <c r="Y12" s="3">
        <f t="shared" si="4"/>
        <v>-89</v>
      </c>
      <c r="Z12" s="3">
        <v>5</v>
      </c>
      <c r="AA12" s="3">
        <v>1</v>
      </c>
      <c r="AB12" s="3">
        <v>1</v>
      </c>
      <c r="AC12" s="3">
        <v>8</v>
      </c>
      <c r="AD12" s="3">
        <v>1</v>
      </c>
      <c r="AE12" s="3">
        <v>10</v>
      </c>
      <c r="AF12" s="3">
        <v>3000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>
        <v>1</v>
      </c>
    </row>
    <row r="13" spans="1:38" x14ac:dyDescent="0.3">
      <c r="A13" s="4" t="s">
        <v>52</v>
      </c>
      <c r="B13">
        <v>12</v>
      </c>
      <c r="C13" t="s">
        <v>46</v>
      </c>
      <c r="D13" t="s">
        <v>41</v>
      </c>
      <c r="E13" s="3">
        <v>5500</v>
      </c>
      <c r="F13" s="3">
        <v>16</v>
      </c>
      <c r="G13" s="3">
        <v>101</v>
      </c>
      <c r="H13" s="3">
        <v>10</v>
      </c>
      <c r="I13" s="3">
        <v>0.6</v>
      </c>
      <c r="J13" s="3">
        <f t="shared" si="0"/>
        <v>32.67326732673267</v>
      </c>
      <c r="K13" s="3">
        <v>600</v>
      </c>
      <c r="L13" s="3">
        <v>600</v>
      </c>
      <c r="M13" s="3">
        <v>0.1</v>
      </c>
      <c r="N13" s="5">
        <f t="shared" si="1"/>
        <v>595722240</v>
      </c>
      <c r="O13" s="3">
        <f t="shared" si="2"/>
        <v>-595722240</v>
      </c>
      <c r="P13" s="3">
        <v>5400</v>
      </c>
      <c r="Q13" s="3">
        <f t="shared" si="3"/>
        <v>-5400</v>
      </c>
      <c r="R13" s="3">
        <v>99</v>
      </c>
      <c r="S13" s="3">
        <v>0</v>
      </c>
      <c r="T13" s="3">
        <v>10</v>
      </c>
      <c r="U13" s="3">
        <v>99</v>
      </c>
      <c r="V13" s="3">
        <v>0</v>
      </c>
      <c r="W13" s="3">
        <v>10</v>
      </c>
      <c r="X13" s="3">
        <v>500</v>
      </c>
      <c r="Y13" s="3">
        <f>-X13</f>
        <v>-500</v>
      </c>
      <c r="Z13" s="3">
        <v>5</v>
      </c>
      <c r="AA13" s="3">
        <v>1</v>
      </c>
      <c r="AB13" s="3">
        <v>1</v>
      </c>
      <c r="AC13" s="3">
        <v>10</v>
      </c>
      <c r="AD13" s="3">
        <v>1</v>
      </c>
      <c r="AE13" s="3">
        <v>10</v>
      </c>
      <c r="AF13" s="3">
        <v>3000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280" zoomScaleNormal="280" workbookViewId="0">
      <selection activeCell="D7" activeCellId="1" sqref="AF13 D7"/>
    </sheetView>
  </sheetViews>
  <sheetFormatPr defaultColWidth="9.21875" defaultRowHeight="14.4" x14ac:dyDescent="0.3"/>
  <cols>
    <col min="1" max="1" width="24.21875" customWidth="1"/>
  </cols>
  <sheetData>
    <row r="1" spans="1:4" s="4" customFormat="1" ht="15.6" x14ac:dyDescent="0.3">
      <c r="A1" s="6" t="s">
        <v>53</v>
      </c>
      <c r="B1" s="6" t="s">
        <v>54</v>
      </c>
      <c r="C1" s="4" t="s">
        <v>55</v>
      </c>
    </row>
    <row r="2" spans="1:4" x14ac:dyDescent="0.3">
      <c r="A2" t="s">
        <v>56</v>
      </c>
      <c r="B2" t="s">
        <v>56</v>
      </c>
      <c r="D2" t="s">
        <v>57</v>
      </c>
    </row>
    <row r="3" spans="1:4" x14ac:dyDescent="0.3">
      <c r="A3" t="s">
        <v>58</v>
      </c>
      <c r="B3" t="s">
        <v>58</v>
      </c>
      <c r="D3" t="s">
        <v>59</v>
      </c>
    </row>
    <row r="4" spans="1:4" x14ac:dyDescent="0.3">
      <c r="A4" t="s">
        <v>60</v>
      </c>
      <c r="B4" t="s">
        <v>60</v>
      </c>
    </row>
    <row r="5" spans="1:4" x14ac:dyDescent="0.3">
      <c r="A5" t="s">
        <v>61</v>
      </c>
      <c r="B5" t="s">
        <v>61</v>
      </c>
    </row>
    <row r="6" spans="1:4" x14ac:dyDescent="0.3">
      <c r="A6" t="s">
        <v>62</v>
      </c>
      <c r="B6" t="s">
        <v>62</v>
      </c>
    </row>
    <row r="7" spans="1:4" x14ac:dyDescent="0.3">
      <c r="A7" t="s">
        <v>63</v>
      </c>
      <c r="B7" t="s">
        <v>64</v>
      </c>
    </row>
    <row r="8" spans="1:4" x14ac:dyDescent="0.3">
      <c r="A8" t="s">
        <v>57</v>
      </c>
      <c r="B8" t="s">
        <v>57</v>
      </c>
    </row>
    <row r="9" spans="1:4" x14ac:dyDescent="0.3">
      <c r="A9" t="s">
        <v>59</v>
      </c>
      <c r="B9" t="s">
        <v>59</v>
      </c>
    </row>
    <row r="10" spans="1:4" x14ac:dyDescent="0.3">
      <c r="A10" t="s">
        <v>65</v>
      </c>
      <c r="B10" t="s">
        <v>65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Id="1" sqref="AF13 A1"/>
    </sheetView>
  </sheetViews>
  <sheetFormatPr defaultColWidth="9.21875" defaultRowHeight="14.4" x14ac:dyDescent="0.3"/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can_bring_up_command</vt:lpstr>
      <vt:lpstr>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shohel rana</dc:creator>
  <dc:description/>
  <cp:lastModifiedBy>Mainul Islam</cp:lastModifiedBy>
  <cp:revision>87</cp:revision>
  <dcterms:created xsi:type="dcterms:W3CDTF">2025-10-20T05:05:47Z</dcterms:created>
  <dcterms:modified xsi:type="dcterms:W3CDTF">2026-06-17T12:15:04Z</dcterms:modified>
  <dc:language>en-US</dc:language>
</cp:coreProperties>
</file>